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8_{8D799FA2-4D1B-4225-8145-B035AF5FC8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indill" sheetId="1" r:id="rId1"/>
  </sheets>
  <calcPr calcId="191029"/>
</workbook>
</file>

<file path=xl/calcChain.xml><?xml version="1.0" encoding="utf-8"?>
<calcChain xmlns="http://schemas.openxmlformats.org/spreadsheetml/2006/main">
  <c r="F28" i="1" l="1"/>
  <c r="D25" i="1"/>
  <c r="I15" i="1" l="1"/>
  <c r="K15" i="1" s="1"/>
  <c r="K16" i="1" l="1"/>
  <c r="K17" i="1" s="1"/>
  <c r="D24" i="1"/>
  <c r="K19" i="1" l="1"/>
  <c r="K18" i="1"/>
  <c r="I8" i="1" l="1"/>
  <c r="K8" i="1" s="1"/>
  <c r="F5" i="1"/>
  <c r="F14" i="1" s="1"/>
  <c r="K9" i="1" l="1"/>
  <c r="K10" i="1" s="1"/>
  <c r="F16" i="1" s="1"/>
  <c r="F15" i="1" s="1"/>
  <c r="K12" i="1" l="1"/>
  <c r="D22" i="1" s="1"/>
  <c r="K11" i="1"/>
  <c r="D23" i="1" s="1"/>
  <c r="F21" i="1" l="1"/>
  <c r="D21" i="1"/>
  <c r="F26" i="1" l="1"/>
  <c r="F27" i="1" s="1"/>
  <c r="F29" i="1" s="1"/>
</calcChain>
</file>

<file path=xl/sharedStrings.xml><?xml version="1.0" encoding="utf-8"?>
<sst xmlns="http://schemas.openxmlformats.org/spreadsheetml/2006/main" count="48" uniqueCount="40">
  <si>
    <t>CONCEPTOS</t>
  </si>
  <si>
    <t xml:space="preserve">Fila </t>
  </si>
  <si>
    <t xml:space="preserve">Costo Base </t>
  </si>
  <si>
    <t xml:space="preserve">Gasto Material </t>
  </si>
  <si>
    <t xml:space="preserve"> De ello: Insumos (Materias primas y materiales) </t>
  </si>
  <si>
    <t xml:space="preserve"> Combustibles y lubricantes </t>
  </si>
  <si>
    <t xml:space="preserve">  Energía </t>
  </si>
  <si>
    <t xml:space="preserve"> Agua </t>
  </si>
  <si>
    <t xml:space="preserve">Salario Directo o retribución directa </t>
  </si>
  <si>
    <t xml:space="preserve">Otros Gastos Directos (Desglosar) </t>
  </si>
  <si>
    <t xml:space="preserve">Gastos asociados a la producción </t>
  </si>
  <si>
    <t xml:space="preserve">De ello, salarios </t>
  </si>
  <si>
    <t xml:space="preserve">COSTO TOTAL ( 1+2+3+4) </t>
  </si>
  <si>
    <t xml:space="preserve">Gastos Generales y de Administración </t>
  </si>
  <si>
    <t xml:space="preserve">Gastos de Distribución y Venta </t>
  </si>
  <si>
    <t xml:space="preserve">Gastos Financieros </t>
  </si>
  <si>
    <t xml:space="preserve">Gastos por Financiamiento entregado a la OSDE </t>
  </si>
  <si>
    <t>Gastos Tributarios</t>
  </si>
  <si>
    <t>Gasto de La Seguridad Social</t>
  </si>
  <si>
    <t>Impuesto Sobre Las Ventas (10%)</t>
  </si>
  <si>
    <t xml:space="preserve">TOTAL DE GASTOS (suma de las filas 6, 7, 8, 9 y 10) </t>
  </si>
  <si>
    <t xml:space="preserve">TOTAL DE COSTOS Y GASTOS (5+11) </t>
  </si>
  <si>
    <t>Utilidad</t>
  </si>
  <si>
    <t xml:space="preserve">PRECIO O TARIFA </t>
  </si>
  <si>
    <t xml:space="preserve">PRECIO O TARIFA UNITARIO AJUSTADO </t>
  </si>
  <si>
    <t xml:space="preserve">Datos sobre precios de referencia </t>
  </si>
  <si>
    <t>Elaborado por:                                Firma</t>
  </si>
  <si>
    <t xml:space="preserve"> Cargo: </t>
  </si>
  <si>
    <t xml:space="preserve">Fecha: </t>
  </si>
  <si>
    <t>Aprobado por:                                 Firma</t>
  </si>
  <si>
    <t>Tarifa</t>
  </si>
  <si>
    <t>Tiempo T</t>
  </si>
  <si>
    <t>Importe</t>
  </si>
  <si>
    <t>Sal. Base</t>
  </si>
  <si>
    <t>Ficha de Costos y Gastos de Productos y servicios para la evaluación de precios y tarifas</t>
  </si>
  <si>
    <t>Impuesto Sobre La Fuerza de Trabajo</t>
  </si>
  <si>
    <t>administracion</t>
  </si>
  <si>
    <t>obreros</t>
  </si>
  <si>
    <t>Producto o Servicio: Cerveza Parranda</t>
  </si>
  <si>
    <t>Código Prod. o Serv.:        UM: bot 500ml     Nivel de Producción:     % utilización capacidad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</si>
</sst>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1" xfId="0" applyFont="1" applyBorder="1"/>
    <xf numFmtId="2" fontId="1" fillId="0" borderId="1" xfId="0" applyNumberFormat="1" applyFont="1" applyBorder="1"/>
    <xf numFmtId="10" fontId="1" fillId="0" borderId="1" xfId="0" applyNumberFormat="1" applyFont="1" applyBorder="1"/>
    <xf numFmtId="9" fontId="1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2" fontId="2" fillId="0" borderId="1" xfId="0" applyNumberFormat="1" applyFont="1" applyBorder="1" applyAlignment="1">
      <alignment vertical="justify"/>
    </xf>
    <xf numFmtId="0" fontId="2" fillId="0" borderId="1" xfId="0" applyFont="1" applyBorder="1" applyAlignment="1">
      <alignment horizontal="center" vertical="justify"/>
    </xf>
    <xf numFmtId="0" fontId="2" fillId="0" borderId="2" xfId="0" applyFont="1" applyBorder="1" applyAlignment="1">
      <alignment horizontal="left" vertical="justify"/>
    </xf>
    <xf numFmtId="0" fontId="2" fillId="0" borderId="3" xfId="0" applyFont="1" applyBorder="1" applyAlignment="1">
      <alignment horizontal="left" vertical="justify"/>
    </xf>
    <xf numFmtId="0" fontId="2" fillId="0" borderId="4" xfId="0" applyFont="1" applyBorder="1" applyAlignment="1">
      <alignment horizontal="left" vertical="justify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2" fontId="2" fillId="0" borderId="2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left" vertical="justify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zoomScaleNormal="100" zoomScaleSheetLayoutView="130" workbookViewId="0">
      <selection activeCell="A16" sqref="A16:D16"/>
    </sheetView>
  </sheetViews>
  <sheetFormatPr baseColWidth="10" defaultColWidth="8.85546875" defaultRowHeight="15" x14ac:dyDescent="0.2"/>
  <cols>
    <col min="1" max="2" width="8.85546875" style="1"/>
    <col min="3" max="3" width="9" style="1" customWidth="1"/>
    <col min="4" max="4" width="31.28515625" style="1" customWidth="1"/>
    <col min="5" max="5" width="11.42578125" style="1" customWidth="1"/>
    <col min="6" max="6" width="8.85546875" style="1"/>
    <col min="7" max="7" width="16.140625" style="1" customWidth="1"/>
    <col min="8" max="8" width="11.42578125" style="1" customWidth="1"/>
    <col min="9" max="9" width="13.7109375" style="1" customWidth="1"/>
    <col min="10" max="10" width="27.5703125" style="1" customWidth="1"/>
    <col min="11" max="11" width="12" style="1" customWidth="1"/>
    <col min="12" max="12" width="5.42578125" style="1" customWidth="1"/>
    <col min="13" max="16384" width="8.85546875" style="1"/>
  </cols>
  <sheetData>
    <row r="1" spans="1:11" x14ac:dyDescent="0.2">
      <c r="A1" s="12" t="s">
        <v>34</v>
      </c>
      <c r="B1" s="12"/>
      <c r="C1" s="12"/>
      <c r="D1" s="12"/>
      <c r="E1" s="12"/>
      <c r="F1" s="12"/>
      <c r="G1" s="12"/>
    </row>
    <row r="2" spans="1:11" ht="15" customHeight="1" x14ac:dyDescent="0.2">
      <c r="A2" s="13" t="s">
        <v>38</v>
      </c>
      <c r="B2" s="14"/>
      <c r="C2" s="14"/>
      <c r="D2" s="14"/>
      <c r="E2" s="14"/>
      <c r="F2" s="14"/>
      <c r="G2" s="15"/>
    </row>
    <row r="3" spans="1:11" x14ac:dyDescent="0.2">
      <c r="A3" s="16" t="s">
        <v>39</v>
      </c>
      <c r="B3" s="16"/>
      <c r="C3" s="16"/>
      <c r="D3" s="16"/>
      <c r="E3" s="16"/>
      <c r="F3" s="16"/>
      <c r="G3" s="16"/>
    </row>
    <row r="4" spans="1:11" x14ac:dyDescent="0.2">
      <c r="A4" s="17" t="s">
        <v>0</v>
      </c>
      <c r="B4" s="17"/>
      <c r="C4" s="17"/>
      <c r="D4" s="17"/>
      <c r="E4" s="6" t="s">
        <v>1</v>
      </c>
      <c r="F4" s="18" t="s">
        <v>2</v>
      </c>
      <c r="G4" s="19"/>
    </row>
    <row r="5" spans="1:11" x14ac:dyDescent="0.2">
      <c r="A5" s="20" t="s">
        <v>3</v>
      </c>
      <c r="B5" s="20"/>
      <c r="C5" s="20"/>
      <c r="D5" s="20"/>
      <c r="E5" s="7">
        <v>1</v>
      </c>
      <c r="F5" s="21">
        <f>SUM(F6:G9)</f>
        <v>420</v>
      </c>
      <c r="G5" s="22"/>
    </row>
    <row r="6" spans="1:11" x14ac:dyDescent="0.2">
      <c r="A6" s="20" t="s">
        <v>4</v>
      </c>
      <c r="B6" s="20"/>
      <c r="C6" s="20"/>
      <c r="D6" s="20"/>
      <c r="E6" s="7">
        <v>1.1000000000000001</v>
      </c>
      <c r="F6" s="21">
        <v>420</v>
      </c>
      <c r="G6" s="22"/>
      <c r="H6" s="1" t="s">
        <v>37</v>
      </c>
    </row>
    <row r="7" spans="1:11" x14ac:dyDescent="0.2">
      <c r="A7" s="20" t="s">
        <v>5</v>
      </c>
      <c r="B7" s="20"/>
      <c r="C7" s="20"/>
      <c r="D7" s="20"/>
      <c r="E7" s="7">
        <v>1.2</v>
      </c>
      <c r="F7" s="21"/>
      <c r="G7" s="22"/>
      <c r="H7" s="2" t="s">
        <v>33</v>
      </c>
      <c r="I7" s="2" t="s">
        <v>30</v>
      </c>
      <c r="J7" s="2" t="s">
        <v>31</v>
      </c>
      <c r="K7" s="2" t="s">
        <v>32</v>
      </c>
    </row>
    <row r="8" spans="1:11" x14ac:dyDescent="0.2">
      <c r="A8" s="20" t="s">
        <v>6</v>
      </c>
      <c r="B8" s="20"/>
      <c r="C8" s="20"/>
      <c r="D8" s="20"/>
      <c r="E8" s="7">
        <v>1.3</v>
      </c>
      <c r="F8" s="21"/>
      <c r="G8" s="22"/>
      <c r="H8" s="3">
        <v>3000</v>
      </c>
      <c r="I8" s="3">
        <f>H8/190.6/60</f>
        <v>0.26232948583420779</v>
      </c>
      <c r="J8" s="2">
        <v>2</v>
      </c>
      <c r="K8" s="3">
        <f>I8*J8</f>
        <v>0.52465897166841557</v>
      </c>
    </row>
    <row r="9" spans="1:11" x14ac:dyDescent="0.2">
      <c r="A9" s="20" t="s">
        <v>7</v>
      </c>
      <c r="B9" s="20"/>
      <c r="C9" s="20"/>
      <c r="D9" s="20"/>
      <c r="E9" s="7">
        <v>1.4</v>
      </c>
      <c r="F9" s="21"/>
      <c r="G9" s="22"/>
      <c r="H9" s="2"/>
      <c r="I9" s="2"/>
      <c r="J9" s="2">
        <v>9.0899999999999995E-2</v>
      </c>
      <c r="K9" s="3">
        <f>K8*0.0909</f>
        <v>4.7691500524658974E-2</v>
      </c>
    </row>
    <row r="10" spans="1:11" x14ac:dyDescent="0.2">
      <c r="A10" s="20" t="s">
        <v>8</v>
      </c>
      <c r="B10" s="20"/>
      <c r="C10" s="20"/>
      <c r="D10" s="20"/>
      <c r="E10" s="7">
        <v>2</v>
      </c>
      <c r="F10" s="21"/>
      <c r="G10" s="22"/>
      <c r="H10" s="2"/>
      <c r="I10" s="2"/>
      <c r="J10" s="2"/>
      <c r="K10" s="3">
        <f>SUM(K8:K9)</f>
        <v>0.57235047219307456</v>
      </c>
    </row>
    <row r="11" spans="1:11" x14ac:dyDescent="0.2">
      <c r="A11" s="20" t="s">
        <v>9</v>
      </c>
      <c r="B11" s="20"/>
      <c r="C11" s="20"/>
      <c r="D11" s="20"/>
      <c r="E11" s="7">
        <v>3</v>
      </c>
      <c r="F11" s="21"/>
      <c r="G11" s="22"/>
      <c r="H11" s="2"/>
      <c r="I11" s="2"/>
      <c r="J11" s="4">
        <v>0.125</v>
      </c>
      <c r="K11" s="3">
        <f>K10*12.5/100</f>
        <v>7.1543809024134319E-2</v>
      </c>
    </row>
    <row r="12" spans="1:11" x14ac:dyDescent="0.2">
      <c r="A12" s="6" t="s">
        <v>10</v>
      </c>
      <c r="B12" s="8"/>
      <c r="C12" s="9"/>
      <c r="D12" s="10"/>
      <c r="E12" s="7">
        <v>4</v>
      </c>
      <c r="F12" s="21"/>
      <c r="G12" s="22"/>
      <c r="H12" s="2"/>
      <c r="I12" s="2"/>
      <c r="J12" s="5">
        <v>0.05</v>
      </c>
      <c r="K12" s="3">
        <f>K10*J12</f>
        <v>2.8617523609653729E-2</v>
      </c>
    </row>
    <row r="13" spans="1:11" x14ac:dyDescent="0.2">
      <c r="A13" s="20" t="s">
        <v>11</v>
      </c>
      <c r="B13" s="20"/>
      <c r="C13" s="20"/>
      <c r="D13" s="20"/>
      <c r="E13" s="7">
        <v>4.0999999999999996</v>
      </c>
      <c r="F13" s="18"/>
      <c r="G13" s="19"/>
      <c r="H13" s="1" t="s">
        <v>36</v>
      </c>
    </row>
    <row r="14" spans="1:11" x14ac:dyDescent="0.2">
      <c r="A14" s="20" t="s">
        <v>12</v>
      </c>
      <c r="B14" s="20"/>
      <c r="C14" s="20"/>
      <c r="D14" s="20"/>
      <c r="E14" s="7">
        <v>5</v>
      </c>
      <c r="F14" s="21">
        <f>F5+F10+F11</f>
        <v>420</v>
      </c>
      <c r="G14" s="22"/>
      <c r="H14" s="2" t="s">
        <v>33</v>
      </c>
      <c r="I14" s="2" t="s">
        <v>30</v>
      </c>
      <c r="J14" s="2" t="s">
        <v>31</v>
      </c>
      <c r="K14" s="2" t="s">
        <v>32</v>
      </c>
    </row>
    <row r="15" spans="1:11" x14ac:dyDescent="0.2">
      <c r="A15" s="20" t="s">
        <v>13</v>
      </c>
      <c r="B15" s="20"/>
      <c r="C15" s="20"/>
      <c r="D15" s="20"/>
      <c r="E15" s="7">
        <v>6</v>
      </c>
      <c r="F15" s="21">
        <f>SUM(F16:G20)</f>
        <v>1.4308761804826864</v>
      </c>
      <c r="G15" s="22"/>
      <c r="H15" s="3">
        <v>4500</v>
      </c>
      <c r="I15" s="3">
        <f>H15/190.6/60</f>
        <v>0.39349422875131168</v>
      </c>
      <c r="J15" s="2">
        <v>2</v>
      </c>
      <c r="K15" s="3">
        <f>I15*J15</f>
        <v>0.78698845750262336</v>
      </c>
    </row>
    <row r="16" spans="1:11" x14ac:dyDescent="0.2">
      <c r="A16" s="20" t="s">
        <v>11</v>
      </c>
      <c r="B16" s="20"/>
      <c r="C16" s="20"/>
      <c r="D16" s="20"/>
      <c r="E16" s="7">
        <v>6.1</v>
      </c>
      <c r="F16" s="21">
        <f>K10+K17</f>
        <v>1.4308761804826864</v>
      </c>
      <c r="G16" s="22"/>
      <c r="H16" s="2"/>
      <c r="I16" s="2"/>
      <c r="J16" s="2">
        <v>9.0899999999999995E-2</v>
      </c>
      <c r="K16" s="3">
        <f>K15*0.0909</f>
        <v>7.1537250786988457E-2</v>
      </c>
    </row>
    <row r="17" spans="1:11" x14ac:dyDescent="0.2">
      <c r="A17" s="20" t="s">
        <v>14</v>
      </c>
      <c r="B17" s="20"/>
      <c r="C17" s="20"/>
      <c r="D17" s="20"/>
      <c r="E17" s="7">
        <v>7</v>
      </c>
      <c r="F17" s="18"/>
      <c r="G17" s="19"/>
      <c r="H17" s="2"/>
      <c r="I17" s="2"/>
      <c r="J17" s="2"/>
      <c r="K17" s="3">
        <f>SUM(K15:K16)</f>
        <v>0.85852570828961183</v>
      </c>
    </row>
    <row r="18" spans="1:11" x14ac:dyDescent="0.2">
      <c r="A18" s="20" t="s">
        <v>11</v>
      </c>
      <c r="B18" s="20"/>
      <c r="C18" s="20"/>
      <c r="D18" s="20"/>
      <c r="E18" s="7">
        <v>7.1</v>
      </c>
      <c r="F18" s="18"/>
      <c r="G18" s="19"/>
      <c r="H18" s="2"/>
      <c r="I18" s="2"/>
      <c r="J18" s="4">
        <v>0.125</v>
      </c>
      <c r="K18" s="3">
        <f>K17*12.5/100</f>
        <v>0.10731571353620147</v>
      </c>
    </row>
    <row r="19" spans="1:11" x14ac:dyDescent="0.2">
      <c r="A19" s="20" t="s">
        <v>15</v>
      </c>
      <c r="B19" s="20"/>
      <c r="C19" s="20"/>
      <c r="D19" s="20"/>
      <c r="E19" s="7">
        <v>8</v>
      </c>
      <c r="F19" s="18"/>
      <c r="G19" s="19"/>
      <c r="H19" s="2"/>
      <c r="I19" s="2"/>
      <c r="J19" s="5">
        <v>0.05</v>
      </c>
      <c r="K19" s="3">
        <f>K17*J19</f>
        <v>4.2926285414480597E-2</v>
      </c>
    </row>
    <row r="20" spans="1:11" x14ac:dyDescent="0.2">
      <c r="A20" s="20" t="s">
        <v>16</v>
      </c>
      <c r="B20" s="20"/>
      <c r="C20" s="20"/>
      <c r="D20" s="20"/>
      <c r="E20" s="7">
        <v>9</v>
      </c>
      <c r="F20" s="18"/>
      <c r="G20" s="19"/>
    </row>
    <row r="21" spans="1:11" x14ac:dyDescent="0.2">
      <c r="A21" s="13" t="s">
        <v>17</v>
      </c>
      <c r="B21" s="14"/>
      <c r="C21" s="15"/>
      <c r="D21" s="11">
        <f>SUM(D22:D25)</f>
        <v>75.250403331584465</v>
      </c>
      <c r="E21" s="30">
        <v>10</v>
      </c>
      <c r="F21" s="23">
        <f>SUM(D22:D25)</f>
        <v>75.250403331584465</v>
      </c>
      <c r="G21" s="24"/>
    </row>
    <row r="22" spans="1:11" ht="14.45" customHeight="1" x14ac:dyDescent="0.2">
      <c r="A22" s="13" t="s">
        <v>35</v>
      </c>
      <c r="B22" s="14"/>
      <c r="C22" s="14"/>
      <c r="D22" s="11">
        <f>K12+K19</f>
        <v>7.1543809024134319E-2</v>
      </c>
      <c r="E22" s="31"/>
      <c r="F22" s="25"/>
      <c r="G22" s="26"/>
    </row>
    <row r="23" spans="1:11" x14ac:dyDescent="0.2">
      <c r="A23" s="13" t="s">
        <v>18</v>
      </c>
      <c r="B23" s="14"/>
      <c r="C23" s="14"/>
      <c r="D23" s="11">
        <f>K11+K18</f>
        <v>0.17885952256033577</v>
      </c>
      <c r="E23" s="31"/>
      <c r="F23" s="25"/>
      <c r="G23" s="26"/>
    </row>
    <row r="24" spans="1:11" x14ac:dyDescent="0.2">
      <c r="A24" s="13" t="s">
        <v>19</v>
      </c>
      <c r="B24" s="14"/>
      <c r="C24" s="14"/>
      <c r="D24" s="11">
        <f>F30*10/100</f>
        <v>50</v>
      </c>
      <c r="E24" s="31"/>
      <c r="F24" s="25"/>
      <c r="G24" s="26"/>
    </row>
    <row r="25" spans="1:11" x14ac:dyDescent="0.2">
      <c r="A25" s="29">
        <v>0.05</v>
      </c>
      <c r="B25" s="14"/>
      <c r="C25" s="15"/>
      <c r="D25" s="11">
        <f>F30*5/100</f>
        <v>25</v>
      </c>
      <c r="E25" s="32"/>
      <c r="F25" s="27"/>
      <c r="G25" s="28"/>
    </row>
    <row r="26" spans="1:11" x14ac:dyDescent="0.2">
      <c r="A26" s="20" t="s">
        <v>20</v>
      </c>
      <c r="B26" s="20"/>
      <c r="C26" s="20"/>
      <c r="D26" s="20"/>
      <c r="E26" s="7">
        <v>11</v>
      </c>
      <c r="F26" s="21">
        <f>F15+F17+F19+F20+F21</f>
        <v>76.68127951206715</v>
      </c>
      <c r="G26" s="22"/>
    </row>
    <row r="27" spans="1:11" x14ac:dyDescent="0.2">
      <c r="A27" s="20" t="s">
        <v>21</v>
      </c>
      <c r="B27" s="20"/>
      <c r="C27" s="20"/>
      <c r="D27" s="20"/>
      <c r="E27" s="7">
        <v>12</v>
      </c>
      <c r="F27" s="21">
        <f>F14+F26</f>
        <v>496.68127951206714</v>
      </c>
      <c r="G27" s="22"/>
    </row>
    <row r="28" spans="1:11" x14ac:dyDescent="0.2">
      <c r="A28" s="20" t="s">
        <v>22</v>
      </c>
      <c r="B28" s="20"/>
      <c r="C28" s="20"/>
      <c r="D28" s="20"/>
      <c r="E28" s="7">
        <v>13</v>
      </c>
      <c r="F28" s="21">
        <f>F6*15/100</f>
        <v>63</v>
      </c>
      <c r="G28" s="22"/>
    </row>
    <row r="29" spans="1:11" x14ac:dyDescent="0.2">
      <c r="A29" s="20" t="s">
        <v>23</v>
      </c>
      <c r="B29" s="20"/>
      <c r="C29" s="20"/>
      <c r="D29" s="20"/>
      <c r="E29" s="7">
        <v>14</v>
      </c>
      <c r="F29" s="21">
        <f>F27+F28</f>
        <v>559.68127951206714</v>
      </c>
      <c r="G29" s="22"/>
    </row>
    <row r="30" spans="1:11" x14ac:dyDescent="0.2">
      <c r="A30" s="20" t="s">
        <v>24</v>
      </c>
      <c r="B30" s="20"/>
      <c r="C30" s="20"/>
      <c r="D30" s="20"/>
      <c r="E30" s="7">
        <v>15</v>
      </c>
      <c r="F30" s="21">
        <v>500</v>
      </c>
      <c r="G30" s="22"/>
    </row>
    <row r="31" spans="1:11" x14ac:dyDescent="0.2">
      <c r="A31" s="20" t="s">
        <v>25</v>
      </c>
      <c r="B31" s="20"/>
      <c r="C31" s="20"/>
      <c r="D31" s="20"/>
      <c r="E31" s="7">
        <v>16</v>
      </c>
      <c r="F31" s="18"/>
      <c r="G31" s="19"/>
    </row>
    <row r="32" spans="1:11" x14ac:dyDescent="0.2">
      <c r="A32" s="20" t="s">
        <v>26</v>
      </c>
      <c r="B32" s="20"/>
      <c r="C32" s="20"/>
      <c r="D32" s="20"/>
      <c r="E32" s="6"/>
      <c r="F32" s="6" t="s">
        <v>27</v>
      </c>
      <c r="G32" s="6" t="s">
        <v>28</v>
      </c>
    </row>
    <row r="33" spans="1:7" x14ac:dyDescent="0.2">
      <c r="A33" s="20" t="s">
        <v>29</v>
      </c>
      <c r="B33" s="20"/>
      <c r="C33" s="20"/>
      <c r="D33" s="20"/>
      <c r="E33" s="6"/>
      <c r="F33" s="6" t="s">
        <v>27</v>
      </c>
      <c r="G33" s="6" t="s">
        <v>28</v>
      </c>
    </row>
  </sheetData>
  <mergeCells count="57">
    <mergeCell ref="A32:D32"/>
    <mergeCell ref="A33:D33"/>
    <mergeCell ref="A21:C21"/>
    <mergeCell ref="A29:D29"/>
    <mergeCell ref="F29:G29"/>
    <mergeCell ref="A30:D30"/>
    <mergeCell ref="F30:G30"/>
    <mergeCell ref="A31:D31"/>
    <mergeCell ref="F31:G31"/>
    <mergeCell ref="A26:D26"/>
    <mergeCell ref="F26:G26"/>
    <mergeCell ref="A27:D27"/>
    <mergeCell ref="F27:G27"/>
    <mergeCell ref="A28:D28"/>
    <mergeCell ref="F28:G28"/>
    <mergeCell ref="E21:E25"/>
    <mergeCell ref="F21:G25"/>
    <mergeCell ref="A22:C22"/>
    <mergeCell ref="A23:C23"/>
    <mergeCell ref="A24:C24"/>
    <mergeCell ref="A25:C25"/>
    <mergeCell ref="A18:D18"/>
    <mergeCell ref="F18:G18"/>
    <mergeCell ref="A19:D19"/>
    <mergeCell ref="F19:G19"/>
    <mergeCell ref="A20:D20"/>
    <mergeCell ref="F20:G20"/>
    <mergeCell ref="A15:D15"/>
    <mergeCell ref="F15:G15"/>
    <mergeCell ref="A16:D16"/>
    <mergeCell ref="F16:G16"/>
    <mergeCell ref="A17:D17"/>
    <mergeCell ref="F17:G17"/>
    <mergeCell ref="A14:D14"/>
    <mergeCell ref="F14:G14"/>
    <mergeCell ref="A8:D8"/>
    <mergeCell ref="F8:G8"/>
    <mergeCell ref="A9:D9"/>
    <mergeCell ref="F9:G9"/>
    <mergeCell ref="A10:D10"/>
    <mergeCell ref="F10:G10"/>
    <mergeCell ref="A11:D11"/>
    <mergeCell ref="F11:G11"/>
    <mergeCell ref="F12:G12"/>
    <mergeCell ref="A13:D13"/>
    <mergeCell ref="F13:G13"/>
    <mergeCell ref="A5:D5"/>
    <mergeCell ref="F5:G5"/>
    <mergeCell ref="A6:D6"/>
    <mergeCell ref="F6:G6"/>
    <mergeCell ref="A7:D7"/>
    <mergeCell ref="F7:G7"/>
    <mergeCell ref="A1:G1"/>
    <mergeCell ref="A2:G2"/>
    <mergeCell ref="A3:G3"/>
    <mergeCell ref="A4:D4"/>
    <mergeCell ref="F4:G4"/>
  </mergeCells>
  <pageMargins left="0.6" right="0.21" top="0.75" bottom="0.75" header="0.3" footer="0.3"/>
  <pageSetup orientation="portrait" r:id="rId1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windill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2026-07-15T15:23:12Z</dcterms:modified>
</cp:coreProperties>
</file>